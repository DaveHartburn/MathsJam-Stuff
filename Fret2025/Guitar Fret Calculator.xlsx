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d.docs.live.net/653128d6ab977aa9/Documents/"/>
    </mc:Choice>
  </mc:AlternateContent>
  <xr:revisionPtr revIDLastSave="202" documentId="8_{FF60E468-1DF3-42E7-8B5F-5A5BCEBBAA79}" xr6:coauthVersionLast="47" xr6:coauthVersionMax="47" xr10:uidLastSave="{73271C69-6580-4F86-88F7-7034D019071C}"/>
  <bookViews>
    <workbookView xWindow="5505" yWindow="720" windowWidth="21600" windowHeight="14685" xr2:uid="{1EC74D52-9DB4-42CF-8A47-9921737683E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B14" i="1"/>
  <c r="C14" i="1" s="1"/>
  <c r="A15" i="1"/>
  <c r="F14" i="1" l="1"/>
  <c r="A16" i="1"/>
  <c r="B16" i="1" s="1"/>
  <c r="E15" i="1"/>
  <c r="B15" i="1"/>
  <c r="C15" i="1" s="1"/>
  <c r="F15" i="1" l="1"/>
  <c r="A17" i="1"/>
  <c r="E16" i="1"/>
  <c r="C16" i="1"/>
  <c r="G14" i="1" l="1"/>
  <c r="F16" i="1"/>
  <c r="A18" i="1"/>
  <c r="E17" i="1"/>
  <c r="B17" i="1"/>
  <c r="C17" i="1" s="1"/>
  <c r="H14" i="1" l="1"/>
  <c r="G15" i="1"/>
  <c r="F17" i="1"/>
  <c r="A19" i="1"/>
  <c r="E18" i="1"/>
  <c r="B18" i="1"/>
  <c r="C18" i="1" s="1"/>
  <c r="K14" i="1" l="1"/>
  <c r="L14" i="1"/>
  <c r="M14" i="1"/>
  <c r="N14" i="1"/>
  <c r="J14" i="1"/>
  <c r="H15" i="1"/>
  <c r="G16" i="1"/>
  <c r="F18" i="1"/>
  <c r="A20" i="1"/>
  <c r="E19" i="1"/>
  <c r="B19" i="1"/>
  <c r="C19" i="1" s="1"/>
  <c r="K15" i="1" l="1"/>
  <c r="L15" i="1"/>
  <c r="M15" i="1"/>
  <c r="N15" i="1"/>
  <c r="J15" i="1"/>
  <c r="H16" i="1"/>
  <c r="G17" i="1"/>
  <c r="F19" i="1"/>
  <c r="A21" i="1"/>
  <c r="E20" i="1"/>
  <c r="B20" i="1"/>
  <c r="C20" i="1" s="1"/>
  <c r="K16" i="1" l="1"/>
  <c r="L16" i="1"/>
  <c r="M16" i="1"/>
  <c r="N16" i="1"/>
  <c r="J16" i="1"/>
  <c r="H17" i="1"/>
  <c r="G18" i="1"/>
  <c r="F20" i="1"/>
  <c r="A22" i="1"/>
  <c r="E21" i="1"/>
  <c r="B21" i="1"/>
  <c r="C21" i="1" s="1"/>
  <c r="K17" i="1" l="1"/>
  <c r="L17" i="1"/>
  <c r="M17" i="1"/>
  <c r="N17" i="1"/>
  <c r="J17" i="1"/>
  <c r="H18" i="1"/>
  <c r="G19" i="1"/>
  <c r="F21" i="1"/>
  <c r="A23" i="1"/>
  <c r="E22" i="1"/>
  <c r="B22" i="1"/>
  <c r="C22" i="1" s="1"/>
  <c r="K18" i="1" l="1"/>
  <c r="L18" i="1"/>
  <c r="M18" i="1"/>
  <c r="N18" i="1"/>
  <c r="J18" i="1"/>
  <c r="H19" i="1"/>
  <c r="G20" i="1"/>
  <c r="F22" i="1"/>
  <c r="A24" i="1"/>
  <c r="E23" i="1"/>
  <c r="B23" i="1"/>
  <c r="C23" i="1" s="1"/>
  <c r="K19" i="1" l="1"/>
  <c r="L19" i="1"/>
  <c r="M19" i="1"/>
  <c r="N19" i="1"/>
  <c r="J19" i="1"/>
  <c r="H20" i="1"/>
  <c r="G21" i="1"/>
  <c r="F23" i="1"/>
  <c r="A25" i="1"/>
  <c r="E24" i="1"/>
  <c r="B24" i="1"/>
  <c r="C24" i="1" s="1"/>
  <c r="K20" i="1" l="1"/>
  <c r="L20" i="1"/>
  <c r="M20" i="1"/>
  <c r="N20" i="1"/>
  <c r="J20" i="1"/>
  <c r="H21" i="1"/>
  <c r="G22" i="1"/>
  <c r="F24" i="1"/>
  <c r="A26" i="1"/>
  <c r="E25" i="1"/>
  <c r="B25" i="1"/>
  <c r="C25" i="1" s="1"/>
  <c r="K21" i="1" l="1"/>
  <c r="L21" i="1"/>
  <c r="M21" i="1"/>
  <c r="N21" i="1"/>
  <c r="J21" i="1"/>
  <c r="H22" i="1"/>
  <c r="G23" i="1"/>
  <c r="F25" i="1"/>
  <c r="A27" i="1"/>
  <c r="E26" i="1"/>
  <c r="B26" i="1"/>
  <c r="C26" i="1" s="1"/>
  <c r="K22" i="1" l="1"/>
  <c r="L22" i="1"/>
  <c r="M22" i="1"/>
  <c r="N22" i="1"/>
  <c r="J22" i="1"/>
  <c r="H23" i="1"/>
  <c r="G24" i="1"/>
  <c r="F26" i="1"/>
  <c r="A28" i="1"/>
  <c r="E27" i="1"/>
  <c r="B27" i="1"/>
  <c r="C27" i="1" s="1"/>
  <c r="K23" i="1" l="1"/>
  <c r="L23" i="1"/>
  <c r="M23" i="1"/>
  <c r="N23" i="1"/>
  <c r="J23" i="1"/>
  <c r="H24" i="1"/>
  <c r="G25" i="1"/>
  <c r="F27" i="1"/>
  <c r="A29" i="1"/>
  <c r="E28" i="1"/>
  <c r="B28" i="1"/>
  <c r="C28" i="1" s="1"/>
  <c r="K24" i="1" l="1"/>
  <c r="L24" i="1"/>
  <c r="M24" i="1"/>
  <c r="N24" i="1"/>
  <c r="J24" i="1"/>
  <c r="H25" i="1"/>
  <c r="G26" i="1"/>
  <c r="F28" i="1"/>
  <c r="A30" i="1"/>
  <c r="E29" i="1"/>
  <c r="B29" i="1"/>
  <c r="C29" i="1" s="1"/>
  <c r="K25" i="1" l="1"/>
  <c r="L25" i="1"/>
  <c r="M25" i="1"/>
  <c r="N25" i="1"/>
  <c r="J25" i="1"/>
  <c r="H26" i="1"/>
  <c r="G27" i="1"/>
  <c r="F29" i="1"/>
  <c r="A31" i="1"/>
  <c r="E30" i="1"/>
  <c r="B30" i="1"/>
  <c r="C30" i="1" s="1"/>
  <c r="K26" i="1" l="1"/>
  <c r="L26" i="1"/>
  <c r="M26" i="1"/>
  <c r="N26" i="1"/>
  <c r="J26" i="1"/>
  <c r="H27" i="1"/>
  <c r="G28" i="1"/>
  <c r="F30" i="1"/>
  <c r="A32" i="1"/>
  <c r="E31" i="1"/>
  <c r="B31" i="1"/>
  <c r="C31" i="1" s="1"/>
  <c r="K27" i="1" l="1"/>
  <c r="L27" i="1"/>
  <c r="M27" i="1"/>
  <c r="N27" i="1"/>
  <c r="J27" i="1"/>
  <c r="H28" i="1"/>
  <c r="G29" i="1"/>
  <c r="F31" i="1"/>
  <c r="A33" i="1"/>
  <c r="E32" i="1"/>
  <c r="B32" i="1"/>
  <c r="C32" i="1" s="1"/>
  <c r="K28" i="1" l="1"/>
  <c r="L28" i="1"/>
  <c r="M28" i="1"/>
  <c r="N28" i="1"/>
  <c r="J28" i="1"/>
  <c r="H29" i="1"/>
  <c r="G30" i="1"/>
  <c r="F32" i="1"/>
  <c r="A34" i="1"/>
  <c r="E33" i="1"/>
  <c r="B33" i="1"/>
  <c r="C33" i="1" s="1"/>
  <c r="K29" i="1" l="1"/>
  <c r="L29" i="1"/>
  <c r="M29" i="1"/>
  <c r="N29" i="1"/>
  <c r="J29" i="1"/>
  <c r="H30" i="1"/>
  <c r="G31" i="1"/>
  <c r="F33" i="1"/>
  <c r="A35" i="1"/>
  <c r="E34" i="1"/>
  <c r="B34" i="1"/>
  <c r="C34" i="1" s="1"/>
  <c r="K30" i="1" l="1"/>
  <c r="L30" i="1"/>
  <c r="M30" i="1"/>
  <c r="N30" i="1"/>
  <c r="J30" i="1"/>
  <c r="H31" i="1"/>
  <c r="G32" i="1"/>
  <c r="F34" i="1"/>
  <c r="H34" i="1"/>
  <c r="G34" i="1"/>
  <c r="A36" i="1"/>
  <c r="E35" i="1"/>
  <c r="B35" i="1"/>
  <c r="C35" i="1" s="1"/>
  <c r="K34" i="1" l="1"/>
  <c r="L34" i="1"/>
  <c r="M34" i="1"/>
  <c r="N34" i="1"/>
  <c r="J34" i="1"/>
  <c r="K31" i="1"/>
  <c r="L31" i="1"/>
  <c r="M31" i="1"/>
  <c r="N31" i="1"/>
  <c r="J31" i="1"/>
  <c r="H32" i="1"/>
  <c r="G33" i="1"/>
  <c r="F35" i="1"/>
  <c r="H35" i="1"/>
  <c r="G35" i="1"/>
  <c r="A37" i="1"/>
  <c r="E36" i="1"/>
  <c r="B36" i="1"/>
  <c r="C36" i="1" s="1"/>
  <c r="H33" i="1" s="1"/>
  <c r="K35" i="1" l="1"/>
  <c r="L35" i="1"/>
  <c r="M35" i="1"/>
  <c r="N35" i="1"/>
  <c r="J35" i="1"/>
  <c r="K33" i="1"/>
  <c r="L33" i="1"/>
  <c r="M33" i="1"/>
  <c r="N33" i="1"/>
  <c r="J33" i="1"/>
  <c r="K32" i="1"/>
  <c r="L32" i="1"/>
  <c r="M32" i="1"/>
  <c r="N32" i="1"/>
  <c r="J32" i="1"/>
  <c r="F36" i="1"/>
  <c r="H36" i="1"/>
  <c r="G36" i="1"/>
  <c r="A38" i="1"/>
  <c r="E37" i="1"/>
  <c r="B37" i="1"/>
  <c r="C37" i="1" s="1"/>
  <c r="K36" i="1" l="1"/>
  <c r="L36" i="1"/>
  <c r="M36" i="1"/>
  <c r="N36" i="1"/>
  <c r="J36" i="1"/>
  <c r="F37" i="1"/>
  <c r="H37" i="1"/>
  <c r="G37" i="1"/>
  <c r="B38" i="1"/>
  <c r="C38" i="1" s="1"/>
  <c r="E38" i="1"/>
  <c r="K37" i="1" l="1"/>
  <c r="L37" i="1"/>
  <c r="M37" i="1"/>
  <c r="N37" i="1"/>
  <c r="J37" i="1"/>
  <c r="F38" i="1"/>
  <c r="H38" i="1"/>
  <c r="G38" i="1"/>
  <c r="K38" i="1" l="1"/>
  <c r="L38" i="1"/>
  <c r="M38" i="1"/>
  <c r="N38" i="1"/>
  <c r="J38" i="1"/>
</calcChain>
</file>

<file path=xl/sharedStrings.xml><?xml version="1.0" encoding="utf-8"?>
<sst xmlns="http://schemas.openxmlformats.org/spreadsheetml/2006/main" count="28" uniqueCount="26">
  <si>
    <t>Column1</t>
  </si>
  <si>
    <t>Scale Length</t>
  </si>
  <si>
    <t>No. of frets</t>
  </si>
  <si>
    <t>Fender</t>
  </si>
  <si>
    <t>Gibson</t>
  </si>
  <si>
    <t>Bass</t>
  </si>
  <si>
    <t>Ukulele (soprano)</t>
  </si>
  <si>
    <t>d=s-(s/(2^(n/12)))</t>
  </si>
  <si>
    <t>Rocker margin</t>
  </si>
  <si>
    <t>Put side lengths here. Yes/No will tell you if it works</t>
  </si>
  <si>
    <t>Fret number</t>
  </si>
  <si>
    <t>Spacing from nut</t>
  </si>
  <si>
    <t>Spacing from previous</t>
  </si>
  <si>
    <t>Start fret</t>
  </si>
  <si>
    <t>End fret</t>
  </si>
  <si>
    <t>Min size</t>
  </si>
  <si>
    <t>Max size</t>
  </si>
  <si>
    <t>.</t>
  </si>
  <si>
    <t>Side 1</t>
  </si>
  <si>
    <t>Side 2</t>
  </si>
  <si>
    <t>Side 3</t>
  </si>
  <si>
    <t>Side 4</t>
  </si>
  <si>
    <t>Side 5</t>
  </si>
  <si>
    <t>Talk notes:</t>
  </si>
  <si>
    <t>Fender, minumum: 72, 42, 28 - Doesn't work as a triangle!</t>
  </si>
  <si>
    <t>Add a bit: 72, 45,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</si>
</sst>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0" xfId="1"/>
    <xf numFmtId="0" fontId="1" fillId="3" borderId="0" xfId="2"/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2" fillId="4" borderId="0" xfId="3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2" fillId="4" borderId="0" xfId="3" applyNumberFormat="1"/>
  </cellXfs>
  <cellStyles count="4">
    <cellStyle name="40% - Accent5" xfId="1" builtinId="47"/>
    <cellStyle name="60% - Accent5" xfId="2" builtinId="48"/>
    <cellStyle name="Accent5" xfId="3" builtinId="45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indexed="65"/>
        </patternFill>
      </fill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2E096-471F-4EA2-ABBE-28C94C861EF9}" name="Table1" displayName="Table1" ref="A1:C8" totalsRowShown="0">
  <autoFilter ref="A1:C8" xr:uid="{9C22E096-471F-4EA2-ABBE-28C94C861EF9}"/>
  <tableColumns count="3">
    <tableColumn id="1" xr3:uid="{2C429A53-829F-41E6-BD6A-88192FB595F4}" name="Column1"/>
    <tableColumn id="2" xr3:uid="{EB109624-7925-44BE-9118-21641D9D5C5E}" name="Scale Length"/>
    <tableColumn id="3" xr3:uid="{CA281CBD-C846-4E59-AE2E-84C340933365}" name="No. of fre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7A8EE-8D38-438F-A8BA-86BD19958C02}" name="FretSpacing" displayName="FretSpacing" ref="A13:C38" totalsRowShown="0" headerRowDxfId="12">
  <autoFilter ref="A13:C38" xr:uid="{5C97A8EE-8D38-438F-A8BA-86BD19958C02}"/>
  <tableColumns count="3">
    <tableColumn id="1" xr3:uid="{083732AF-78F5-4A11-854F-56A93488C87A}" name="Fret number"/>
    <tableColumn id="2" xr3:uid="{48955908-C935-46AE-A942-D51C54E94023}" name="Spacing from nut" dataDxfId="11">
      <calculatedColumnFormula>IF(A14="","",$B$9-($B$9/POWER(2,A14/12)))</calculatedColumnFormula>
    </tableColumn>
    <tableColumn id="3" xr3:uid="{8B640359-960D-4B98-99E9-0D7222AFE5EE}" name="Spacing from previous" dataDxfId="10">
      <calculatedColumnFormula>B14-B13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10059E-D9D4-4D1F-9C9C-B2D7616E01B8}" name="FretSpan" displayName="FretSpan" ref="E13:N38" totalsRowShown="0">
  <autoFilter ref="E13:N38" xr:uid="{8310059E-D9D4-4D1F-9C9C-B2D7616E01B8}"/>
  <tableColumns count="10">
    <tableColumn id="1" xr3:uid="{783E4584-E814-4B8D-8FBB-69FA35428A2E}" name="Start fret" dataDxfId="9">
      <calculatedColumnFormula>IF(A14&lt;=($B$10-2),A14,"")</calculatedColumnFormula>
    </tableColumn>
    <tableColumn id="2" xr3:uid="{43A7F565-E88A-46AD-AA1D-8CCF0740E668}" name="End fret" dataDxfId="8">
      <calculatedColumnFormula>IF(E14&lt;&gt;"",E14+2,"")</calculatedColumnFormula>
    </tableColumn>
    <tableColumn id="3" xr3:uid="{5791A098-1B01-4AFC-B8E9-D5274469B7D2}" name="Min size" dataDxfId="7">
      <calculatedColumnFormula>IF(E14&lt;&gt;"",C15+C16+$B$11*2,"")</calculatedColumnFormula>
    </tableColumn>
    <tableColumn id="4" xr3:uid="{1729AED2-0041-4B92-AC05-CE4728B88A4D}" name="Max size" dataDxfId="6">
      <calculatedColumnFormula>IF(E14&lt;&gt;"",SUM(C14:C17)-$B$11*2,"")</calculatedColumnFormula>
    </tableColumn>
    <tableColumn id="5" xr3:uid="{0AF55DA6-7DBA-4391-B74A-A94D4FA5BAF1}" name="." dataDxfId="5"/>
    <tableColumn id="6" xr3:uid="{C7598F00-D26B-4FFF-BBC8-255B7C34CA0F}" name="Side 1" dataDxfId="4">
      <calculatedColumnFormula>IF(AND(J$12&gt;=$G14,J$12&lt;=$H14),"YES","NO")</calculatedColumnFormula>
    </tableColumn>
    <tableColumn id="7" xr3:uid="{4FFADA70-EE19-493D-9C88-A18B80A8F188}" name="Side 2" dataDxfId="3">
      <calculatedColumnFormula>IF(AND(K$12&gt;=$G14,K$12&lt;=$H14),"YES","NO")</calculatedColumnFormula>
    </tableColumn>
    <tableColumn id="8" xr3:uid="{47AE51DC-D57B-4522-AA06-B0B43736562E}" name="Side 3" dataDxfId="2">
      <calculatedColumnFormula>IF(AND(L$12&gt;=$G14,L$12&lt;=$H14),"YES","NO")</calculatedColumnFormula>
    </tableColumn>
    <tableColumn id="9" xr3:uid="{F7EE1A26-EE63-4610-A615-5B6028F67ECF}" name="Side 4" dataDxfId="1">
      <calculatedColumnFormula>IF(AND(M$12&gt;=$G14,M$12&lt;=$H14),"YES","NO")</calculatedColumnFormula>
    </tableColumn>
    <tableColumn id="10" xr3:uid="{2598AD16-DA9F-47D4-B789-D72EBC8DB922}" name="Side 5" dataDxfId="0">
      <calculatedColumnFormula>IF(AND(N$12&gt;=$G14,N$12&lt;=$H14),"YES","NO")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E532-1876-4B41-8807-5D4B90245B18}">
  <dimension ref="A1:N38"/>
  <sheetViews>
    <sheetView tabSelected="1" topLeftCell="A11" workbookViewId="0">
      <selection activeCell="A13" sqref="A13:C34"/>
    </sheetView>
  </sheetViews>
  <sheetFormatPr defaultRowHeight="15"/>
  <cols>
    <col min="1" max="1" width="19.28515625" customWidth="1"/>
    <col min="2" max="2" width="20.42578125" customWidth="1"/>
    <col min="3" max="3" width="25.85546875" customWidth="1"/>
    <col min="4" max="4" width="10.85546875" bestFit="1" customWidth="1"/>
    <col min="5" max="5" width="7.140625" customWidth="1"/>
    <col min="6" max="6" width="5.5703125" customWidth="1"/>
    <col min="7" max="7" width="19.85546875" customWidth="1"/>
    <col min="8" max="8" width="21" customWidth="1"/>
    <col min="9" max="9" width="4" customWidth="1"/>
    <col min="14" max="14" width="7.85546875" customWidth="1"/>
  </cols>
  <sheetData>
    <row r="1" spans="1:14">
      <c r="A1" t="s">
        <v>0</v>
      </c>
      <c r="B1" t="s">
        <v>1</v>
      </c>
      <c r="C1" t="s">
        <v>2</v>
      </c>
    </row>
    <row r="2" spans="1:14">
      <c r="A2" t="s">
        <v>3</v>
      </c>
      <c r="B2">
        <v>648</v>
      </c>
      <c r="C2">
        <v>22</v>
      </c>
    </row>
    <row r="3" spans="1:14">
      <c r="A3" t="s">
        <v>4</v>
      </c>
      <c r="B3">
        <v>628</v>
      </c>
      <c r="C3">
        <v>22</v>
      </c>
    </row>
    <row r="4" spans="1:14">
      <c r="A4" t="s">
        <v>5</v>
      </c>
      <c r="B4">
        <v>864</v>
      </c>
      <c r="C4">
        <v>22</v>
      </c>
    </row>
    <row r="5" spans="1:14">
      <c r="A5" t="s">
        <v>6</v>
      </c>
      <c r="B5">
        <v>330</v>
      </c>
      <c r="C5">
        <v>12</v>
      </c>
    </row>
    <row r="9" spans="1:14">
      <c r="A9" s="3" t="s">
        <v>1</v>
      </c>
      <c r="B9" s="2">
        <v>648</v>
      </c>
    </row>
    <row r="10" spans="1:14">
      <c r="A10" s="3" t="s">
        <v>2</v>
      </c>
      <c r="B10" s="2">
        <v>21</v>
      </c>
      <c r="D10" t="s">
        <v>7</v>
      </c>
    </row>
    <row r="11" spans="1:14">
      <c r="A11" s="3" t="s">
        <v>8</v>
      </c>
      <c r="B11" s="2">
        <v>2</v>
      </c>
      <c r="J11" t="s">
        <v>9</v>
      </c>
    </row>
    <row r="12" spans="1:14">
      <c r="J12" s="9">
        <v>72</v>
      </c>
      <c r="K12" s="9">
        <v>43</v>
      </c>
      <c r="L12" s="9">
        <v>28</v>
      </c>
      <c r="M12" s="9">
        <v>1000</v>
      </c>
      <c r="N12" s="9">
        <v>1000</v>
      </c>
    </row>
    <row r="13" spans="1:14" s="1" customFormat="1" ht="19.5" customHeight="1">
      <c r="A13" s="1" t="s">
        <v>10</v>
      </c>
      <c r="B13" s="4" t="s">
        <v>11</v>
      </c>
      <c r="C13" s="1" t="s">
        <v>12</v>
      </c>
      <c r="E13" t="s">
        <v>13</v>
      </c>
      <c r="F13" t="s">
        <v>14</v>
      </c>
      <c r="G13" t="s">
        <v>15</v>
      </c>
      <c r="H13" t="s">
        <v>16</v>
      </c>
      <c r="I13" s="1" t="s">
        <v>17</v>
      </c>
      <c r="J13" s="8" t="s">
        <v>18</v>
      </c>
      <c r="K13" s="1" t="s">
        <v>19</v>
      </c>
      <c r="L13" s="1" t="s">
        <v>20</v>
      </c>
      <c r="M13" s="1" t="s">
        <v>21</v>
      </c>
      <c r="N13" s="1" t="s">
        <v>22</v>
      </c>
    </row>
    <row r="14" spans="1:14">
      <c r="A14">
        <v>1</v>
      </c>
      <c r="B14" s="5">
        <f t="shared" ref="B14:B38" si="0">IF(A14="","",$B$9-($B$9/POWER(2,A14/12)))</f>
        <v>36.369445382262597</v>
      </c>
      <c r="C14" s="5">
        <f>B14</f>
        <v>36.369445382262597</v>
      </c>
      <c r="E14">
        <f t="shared" ref="E14:E38" si="1">IF(A14&lt;=($B$10-2),A14,"")</f>
        <v>1</v>
      </c>
      <c r="F14">
        <f t="shared" ref="F14:F38" si="2">IF(E14&lt;&gt;"",E14+2,"")</f>
        <v>3</v>
      </c>
      <c r="G14" s="7">
        <f t="shared" ref="G14:G38" si="3">IF(E14&lt;&gt;"",C15+C16+$B$11*2,"")</f>
        <v>70.729677533330346</v>
      </c>
      <c r="H14" s="7">
        <f t="shared" ref="H14:H38" si="4">IF(E14&lt;&gt;"",SUM(C14:C17)-$B$11*2,"")</f>
        <v>129.6820591623034</v>
      </c>
      <c r="I14" s="6"/>
      <c r="J14" t="str">
        <f t="shared" ref="J14:J38" si="5">IF(AND(J$12&gt;=$G14,J$12&lt;=$H14),"YES","NO")</f>
        <v>YES</v>
      </c>
      <c r="K14" t="str">
        <f t="shared" ref="K14:K38" si="6">IF(AND(K$12&gt;=$G14,K$12&lt;=$H14),"YES","NO")</f>
        <v>NO</v>
      </c>
      <c r="L14" t="str">
        <f t="shared" ref="L14:L38" si="7">IF(AND(L$12&gt;=$G14,L$12&lt;=$H14),"YES","NO")</f>
        <v>NO</v>
      </c>
      <c r="M14" t="str">
        <f t="shared" ref="M14:M38" si="8">IF(AND(M$12&gt;=$G14,M$12&lt;=$H14),"YES","NO")</f>
        <v>NO</v>
      </c>
      <c r="N14" t="str">
        <f t="shared" ref="N14:N38" si="9">IF(AND(N$12&gt;=$G14,N$12&lt;=$H14),"YES","NO")</f>
        <v>NO</v>
      </c>
    </row>
    <row r="15" spans="1:14">
      <c r="A15">
        <f t="shared" ref="A15:A36" si="10">IF(A14="","",IF(A14+1&gt;$B$10,"",A14+1))</f>
        <v>2</v>
      </c>
      <c r="B15" s="5">
        <f t="shared" si="0"/>
        <v>70.697630645060144</v>
      </c>
      <c r="C15" s="5">
        <f>IF(B15="","",B15-B14)</f>
        <v>34.328185262797547</v>
      </c>
      <c r="E15">
        <f t="shared" si="1"/>
        <v>2</v>
      </c>
      <c r="F15">
        <f t="shared" si="2"/>
        <v>4</v>
      </c>
      <c r="G15" s="7">
        <f t="shared" si="3"/>
        <v>66.984428517243259</v>
      </c>
      <c r="H15" s="7">
        <f t="shared" si="4"/>
        <v>122.17906170969258</v>
      </c>
      <c r="I15" s="6"/>
      <c r="J15" t="str">
        <f t="shared" si="5"/>
        <v>YES</v>
      </c>
      <c r="K15" t="str">
        <f t="shared" si="6"/>
        <v>NO</v>
      </c>
      <c r="L15" t="str">
        <f t="shared" si="7"/>
        <v>NO</v>
      </c>
      <c r="M15" t="str">
        <f t="shared" si="8"/>
        <v>NO</v>
      </c>
      <c r="N15" t="str">
        <f t="shared" si="9"/>
        <v>NO</v>
      </c>
    </row>
    <row r="16" spans="1:14">
      <c r="A16">
        <f t="shared" si="10"/>
        <v>3</v>
      </c>
      <c r="B16" s="5">
        <f t="shared" si="0"/>
        <v>103.09912291559294</v>
      </c>
      <c r="C16" s="5">
        <f t="shared" ref="C16:C38" si="11">IF(B16="","",B16-B15)</f>
        <v>32.401492270532799</v>
      </c>
      <c r="E16">
        <f t="shared" si="1"/>
        <v>3</v>
      </c>
      <c r="F16">
        <f t="shared" si="2"/>
        <v>5</v>
      </c>
      <c r="G16" s="7">
        <f t="shared" si="3"/>
        <v>63.44938417636223</v>
      </c>
      <c r="H16" s="7">
        <f t="shared" si="4"/>
        <v>115.09717514605711</v>
      </c>
      <c r="I16" s="6"/>
      <c r="J16" t="str">
        <f t="shared" si="5"/>
        <v>YES</v>
      </c>
      <c r="K16" t="str">
        <f t="shared" si="6"/>
        <v>NO</v>
      </c>
      <c r="L16" t="str">
        <f t="shared" si="7"/>
        <v>NO</v>
      </c>
      <c r="M16" t="str">
        <f t="shared" si="8"/>
        <v>NO</v>
      </c>
      <c r="N16" t="str">
        <f t="shared" si="9"/>
        <v>NO</v>
      </c>
    </row>
    <row r="17" spans="1:14">
      <c r="A17">
        <f t="shared" si="10"/>
        <v>4</v>
      </c>
      <c r="B17" s="5">
        <f t="shared" si="0"/>
        <v>133.6820591623034</v>
      </c>
      <c r="C17" s="5">
        <f t="shared" si="11"/>
        <v>30.58293624671046</v>
      </c>
      <c r="E17">
        <f t="shared" si="1"/>
        <v>4</v>
      </c>
      <c r="F17">
        <f t="shared" si="2"/>
        <v>6</v>
      </c>
      <c r="G17" s="7">
        <f t="shared" si="3"/>
        <v>60.112746628813852</v>
      </c>
      <c r="H17" s="7">
        <f t="shared" si="4"/>
        <v>108.41276433331592</v>
      </c>
      <c r="I17" s="6"/>
      <c r="J17" t="str">
        <f t="shared" si="5"/>
        <v>YES</v>
      </c>
      <c r="K17" t="str">
        <f t="shared" si="6"/>
        <v>NO</v>
      </c>
      <c r="L17" t="str">
        <f t="shared" si="7"/>
        <v>NO</v>
      </c>
      <c r="M17" t="str">
        <f t="shared" si="8"/>
        <v>NO</v>
      </c>
      <c r="N17" t="str">
        <f t="shared" si="9"/>
        <v>NO</v>
      </c>
    </row>
    <row r="18" spans="1:14">
      <c r="A18">
        <f t="shared" si="10"/>
        <v>5</v>
      </c>
      <c r="B18" s="5">
        <f t="shared" si="0"/>
        <v>162.54850709195517</v>
      </c>
      <c r="C18" s="5">
        <f t="shared" si="11"/>
        <v>28.86644792965177</v>
      </c>
      <c r="E18">
        <f t="shared" si="1"/>
        <v>5</v>
      </c>
      <c r="F18">
        <f t="shared" si="2"/>
        <v>7</v>
      </c>
      <c r="G18" s="7">
        <f t="shared" si="3"/>
        <v>56.96338015695369</v>
      </c>
      <c r="H18" s="7">
        <f t="shared" si="4"/>
        <v>102.10352067175768</v>
      </c>
      <c r="I18" s="6"/>
      <c r="J18" t="str">
        <f t="shared" si="5"/>
        <v>YES</v>
      </c>
      <c r="K18" t="str">
        <f t="shared" si="6"/>
        <v>NO</v>
      </c>
      <c r="L18" t="str">
        <f t="shared" si="7"/>
        <v>NO</v>
      </c>
      <c r="M18" t="str">
        <f t="shared" si="8"/>
        <v>NO</v>
      </c>
      <c r="N18" t="str">
        <f t="shared" si="9"/>
        <v>NO</v>
      </c>
    </row>
    <row r="19" spans="1:14">
      <c r="A19">
        <f t="shared" si="10"/>
        <v>6</v>
      </c>
      <c r="B19" s="5">
        <f t="shared" si="0"/>
        <v>189.79480579111726</v>
      </c>
      <c r="C19" s="5">
        <f t="shared" si="11"/>
        <v>27.246298699162082</v>
      </c>
      <c r="E19">
        <f t="shared" si="1"/>
        <v>6</v>
      </c>
      <c r="F19">
        <f t="shared" si="2"/>
        <v>8</v>
      </c>
      <c r="G19" s="7">
        <f t="shared" si="3"/>
        <v>53.990774042943826</v>
      </c>
      <c r="H19" s="7">
        <f t="shared" si="4"/>
        <v>96.14838764716319</v>
      </c>
      <c r="I19" s="6"/>
      <c r="J19" t="str">
        <f t="shared" si="5"/>
        <v>YES</v>
      </c>
      <c r="K19" t="str">
        <f t="shared" si="6"/>
        <v>NO</v>
      </c>
      <c r="L19" t="str">
        <f t="shared" si="7"/>
        <v>NO</v>
      </c>
      <c r="M19" t="str">
        <f t="shared" si="8"/>
        <v>NO</v>
      </c>
      <c r="N19" t="str">
        <f t="shared" si="9"/>
        <v>NO</v>
      </c>
    </row>
    <row r="20" spans="1:14">
      <c r="A20">
        <f t="shared" si="10"/>
        <v>7</v>
      </c>
      <c r="B20" s="5">
        <f t="shared" si="0"/>
        <v>215.51188724890886</v>
      </c>
      <c r="C20" s="5">
        <f t="shared" si="11"/>
        <v>25.717081457791608</v>
      </c>
      <c r="E20">
        <f t="shared" si="1"/>
        <v>7</v>
      </c>
      <c r="F20">
        <f t="shared" si="2"/>
        <v>9</v>
      </c>
      <c r="G20" s="7">
        <f t="shared" si="3"/>
        <v>51.1850074902095</v>
      </c>
      <c r="H20" s="7">
        <f t="shared" si="4"/>
        <v>90.527490556645887</v>
      </c>
      <c r="I20" s="6"/>
      <c r="J20" t="str">
        <f t="shared" si="5"/>
        <v>YES</v>
      </c>
      <c r="K20" t="str">
        <f t="shared" si="6"/>
        <v>NO</v>
      </c>
      <c r="L20" t="str">
        <f t="shared" si="7"/>
        <v>NO</v>
      </c>
      <c r="M20" t="str">
        <f t="shared" si="8"/>
        <v>NO</v>
      </c>
      <c r="N20" t="str">
        <f t="shared" si="9"/>
        <v>NO</v>
      </c>
    </row>
    <row r="21" spans="1:14">
      <c r="A21">
        <f t="shared" si="10"/>
        <v>8</v>
      </c>
      <c r="B21" s="5">
        <f t="shared" si="0"/>
        <v>239.78557983406108</v>
      </c>
      <c r="C21" s="5">
        <f t="shared" si="11"/>
        <v>24.273692585152219</v>
      </c>
      <c r="E21">
        <f t="shared" si="1"/>
        <v>8</v>
      </c>
      <c r="F21">
        <f t="shared" si="2"/>
        <v>10</v>
      </c>
      <c r="G21" s="7">
        <f t="shared" si="3"/>
        <v>48.536716513702061</v>
      </c>
      <c r="H21" s="7">
        <f t="shared" si="4"/>
        <v>85.222070178679417</v>
      </c>
      <c r="I21" s="6"/>
      <c r="J21" t="str">
        <f t="shared" si="5"/>
        <v>YES</v>
      </c>
      <c r="K21" t="str">
        <f t="shared" si="6"/>
        <v>NO</v>
      </c>
      <c r="L21" t="str">
        <f t="shared" si="7"/>
        <v>NO</v>
      </c>
      <c r="M21" t="str">
        <f t="shared" si="8"/>
        <v>NO</v>
      </c>
      <c r="N21" t="str">
        <f t="shared" si="9"/>
        <v>NO</v>
      </c>
    </row>
    <row r="22" spans="1:14">
      <c r="A22">
        <f t="shared" si="10"/>
        <v>9</v>
      </c>
      <c r="B22" s="5">
        <f t="shared" si="0"/>
        <v>262.69689473911836</v>
      </c>
      <c r="C22" s="5">
        <f t="shared" si="11"/>
        <v>22.911314905057282</v>
      </c>
      <c r="E22">
        <f t="shared" si="1"/>
        <v>9</v>
      </c>
      <c r="F22">
        <f t="shared" si="2"/>
        <v>11</v>
      </c>
      <c r="G22" s="7">
        <f t="shared" si="3"/>
        <v>46.037062688469916</v>
      </c>
      <c r="H22" s="7">
        <f t="shared" si="4"/>
        <v>80.214420165938918</v>
      </c>
      <c r="I22" s="6"/>
      <c r="J22" t="str">
        <f t="shared" si="5"/>
        <v>YES</v>
      </c>
      <c r="K22" t="str">
        <f t="shared" si="6"/>
        <v>NO</v>
      </c>
      <c r="L22" t="str">
        <f t="shared" si="7"/>
        <v>NO</v>
      </c>
      <c r="M22" t="str">
        <f t="shared" si="8"/>
        <v>NO</v>
      </c>
      <c r="N22" t="str">
        <f t="shared" si="9"/>
        <v>NO</v>
      </c>
    </row>
    <row r="23" spans="1:14">
      <c r="A23">
        <f t="shared" si="10"/>
        <v>10</v>
      </c>
      <c r="B23" s="5">
        <f t="shared" si="0"/>
        <v>284.32229634776314</v>
      </c>
      <c r="C23" s="5">
        <f t="shared" si="11"/>
        <v>21.625401608644779</v>
      </c>
      <c r="E23">
        <f t="shared" si="1"/>
        <v>10</v>
      </c>
      <c r="F23">
        <f t="shared" si="2"/>
        <v>12</v>
      </c>
      <c r="G23" s="7">
        <f t="shared" si="3"/>
        <v>43.677703652236858</v>
      </c>
      <c r="H23" s="7">
        <f t="shared" si="4"/>
        <v>75.487827952012879</v>
      </c>
      <c r="I23" s="6"/>
      <c r="J23" t="str">
        <f t="shared" si="5"/>
        <v>YES</v>
      </c>
      <c r="K23" t="str">
        <f t="shared" si="6"/>
        <v>NO</v>
      </c>
      <c r="L23" t="str">
        <f t="shared" si="7"/>
        <v>NO</v>
      </c>
      <c r="M23" t="str">
        <f t="shared" si="8"/>
        <v>NO</v>
      </c>
      <c r="N23" t="str">
        <f t="shared" si="9"/>
        <v>NO</v>
      </c>
    </row>
    <row r="24" spans="1:14">
      <c r="A24">
        <f t="shared" si="10"/>
        <v>11</v>
      </c>
      <c r="B24" s="5">
        <f t="shared" si="0"/>
        <v>304.73395742758828</v>
      </c>
      <c r="C24" s="5">
        <f t="shared" si="11"/>
        <v>20.411661079825137</v>
      </c>
      <c r="E24">
        <f t="shared" si="1"/>
        <v>11</v>
      </c>
      <c r="F24">
        <f t="shared" si="2"/>
        <v>13</v>
      </c>
      <c r="G24" s="7">
        <f t="shared" si="3"/>
        <v>41.450765263542962</v>
      </c>
      <c r="H24" s="7">
        <f t="shared" si="4"/>
        <v>71.02651897476693</v>
      </c>
      <c r="I24" s="6"/>
      <c r="J24" t="str">
        <f t="shared" si="5"/>
        <v>NO</v>
      </c>
      <c r="K24" t="str">
        <f t="shared" si="6"/>
        <v>YES</v>
      </c>
      <c r="L24" t="str">
        <f t="shared" si="7"/>
        <v>NO</v>
      </c>
      <c r="M24" t="str">
        <f t="shared" si="8"/>
        <v>NO</v>
      </c>
      <c r="N24" t="str">
        <f t="shared" si="9"/>
        <v>NO</v>
      </c>
    </row>
    <row r="25" spans="1:14">
      <c r="A25">
        <f t="shared" si="10"/>
        <v>12</v>
      </c>
      <c r="B25" s="5">
        <f t="shared" si="0"/>
        <v>324</v>
      </c>
      <c r="C25" s="5">
        <f t="shared" si="11"/>
        <v>19.26604257241172</v>
      </c>
      <c r="E25">
        <f t="shared" si="1"/>
        <v>12</v>
      </c>
      <c r="F25">
        <f t="shared" si="2"/>
        <v>14</v>
      </c>
      <c r="G25" s="7">
        <f t="shared" si="3"/>
        <v>39.348815322530072</v>
      </c>
      <c r="H25" s="7">
        <f t="shared" si="4"/>
        <v>66.815604030208192</v>
      </c>
      <c r="I25" s="6"/>
      <c r="J25" t="str">
        <f t="shared" si="5"/>
        <v>NO</v>
      </c>
      <c r="K25" t="str">
        <f t="shared" si="6"/>
        <v>YES</v>
      </c>
      <c r="L25" t="str">
        <f t="shared" si="7"/>
        <v>NO</v>
      </c>
      <c r="M25" t="str">
        <f t="shared" si="8"/>
        <v>NO</v>
      </c>
      <c r="N25" t="str">
        <f t="shared" si="9"/>
        <v>NO</v>
      </c>
    </row>
    <row r="26" spans="1:14">
      <c r="A26">
        <f t="shared" si="10"/>
        <v>13</v>
      </c>
      <c r="B26" s="5">
        <f t="shared" si="0"/>
        <v>342.18472269113124</v>
      </c>
      <c r="C26" s="5">
        <f t="shared" si="11"/>
        <v>18.184722691131242</v>
      </c>
      <c r="E26">
        <f t="shared" si="1"/>
        <v>13</v>
      </c>
      <c r="F26">
        <f t="shared" si="2"/>
        <v>15</v>
      </c>
      <c r="G26" s="7">
        <f t="shared" si="3"/>
        <v>37.36483876666523</v>
      </c>
      <c r="H26" s="7">
        <f t="shared" si="4"/>
        <v>62.841029581151645</v>
      </c>
      <c r="I26" s="6"/>
      <c r="J26" t="str">
        <f t="shared" si="5"/>
        <v>NO</v>
      </c>
      <c r="K26" t="str">
        <f t="shared" si="6"/>
        <v>YES</v>
      </c>
      <c r="L26" t="str">
        <f t="shared" si="7"/>
        <v>NO</v>
      </c>
      <c r="M26" t="str">
        <f t="shared" si="8"/>
        <v>NO</v>
      </c>
      <c r="N26" t="str">
        <f t="shared" si="9"/>
        <v>NO</v>
      </c>
    </row>
    <row r="27" spans="1:14">
      <c r="A27">
        <f t="shared" si="10"/>
        <v>14</v>
      </c>
      <c r="B27" s="5">
        <f t="shared" si="0"/>
        <v>359.34881532253007</v>
      </c>
      <c r="C27" s="5">
        <f t="shared" si="11"/>
        <v>17.16409263139883</v>
      </c>
      <c r="E27">
        <f t="shared" si="1"/>
        <v>14</v>
      </c>
      <c r="F27">
        <f t="shared" si="2"/>
        <v>16</v>
      </c>
      <c r="G27" s="7">
        <f t="shared" si="3"/>
        <v>35.492214258621573</v>
      </c>
      <c r="H27" s="7">
        <f t="shared" si="4"/>
        <v>59.089530854846316</v>
      </c>
      <c r="I27" s="6"/>
      <c r="J27" t="str">
        <f t="shared" si="5"/>
        <v>NO</v>
      </c>
      <c r="K27" t="str">
        <f t="shared" si="6"/>
        <v>YES</v>
      </c>
      <c r="L27" t="str">
        <f t="shared" si="7"/>
        <v>NO</v>
      </c>
      <c r="M27" t="str">
        <f t="shared" si="8"/>
        <v>NO</v>
      </c>
      <c r="N27" t="str">
        <f t="shared" si="9"/>
        <v>NO</v>
      </c>
    </row>
    <row r="28" spans="1:14">
      <c r="A28">
        <f t="shared" si="10"/>
        <v>15</v>
      </c>
      <c r="B28" s="5">
        <f t="shared" si="0"/>
        <v>375.54956145779647</v>
      </c>
      <c r="C28" s="5">
        <f t="shared" si="11"/>
        <v>16.2007461352664</v>
      </c>
      <c r="E28">
        <f t="shared" si="1"/>
        <v>15</v>
      </c>
      <c r="F28">
        <f t="shared" si="2"/>
        <v>17</v>
      </c>
      <c r="G28" s="7">
        <f t="shared" si="3"/>
        <v>33.724692088181087</v>
      </c>
      <c r="H28" s="7">
        <f t="shared" si="4"/>
        <v>55.548587573028499</v>
      </c>
      <c r="I28" s="6"/>
      <c r="J28" t="str">
        <f t="shared" si="5"/>
        <v>NO</v>
      </c>
      <c r="K28" t="str">
        <f t="shared" si="6"/>
        <v>YES</v>
      </c>
      <c r="L28" t="str">
        <f t="shared" si="7"/>
        <v>NO</v>
      </c>
      <c r="M28" t="str">
        <f t="shared" si="8"/>
        <v>NO</v>
      </c>
      <c r="N28" t="str">
        <f t="shared" si="9"/>
        <v>NO</v>
      </c>
    </row>
    <row r="29" spans="1:14">
      <c r="A29">
        <f t="shared" si="10"/>
        <v>16</v>
      </c>
      <c r="B29" s="5">
        <f t="shared" si="0"/>
        <v>390.84102958115164</v>
      </c>
      <c r="C29" s="5">
        <f t="shared" si="11"/>
        <v>15.291468123355173</v>
      </c>
      <c r="E29">
        <f t="shared" si="1"/>
        <v>16</v>
      </c>
      <c r="F29">
        <f t="shared" si="2"/>
        <v>18</v>
      </c>
      <c r="G29" s="7">
        <f t="shared" si="3"/>
        <v>32.056373314406926</v>
      </c>
      <c r="H29" s="7">
        <f t="shared" si="4"/>
        <v>52.206382166657932</v>
      </c>
      <c r="I29" s="6"/>
      <c r="J29" t="str">
        <f t="shared" si="5"/>
        <v>NO</v>
      </c>
      <c r="K29" t="str">
        <f t="shared" si="6"/>
        <v>YES</v>
      </c>
      <c r="L29" t="str">
        <f t="shared" si="7"/>
        <v>NO</v>
      </c>
      <c r="M29" t="str">
        <f t="shared" si="8"/>
        <v>NO</v>
      </c>
      <c r="N29" t="str">
        <f t="shared" si="9"/>
        <v>NO</v>
      </c>
    </row>
    <row r="30" spans="1:14">
      <c r="A30">
        <f t="shared" si="10"/>
        <v>17</v>
      </c>
      <c r="B30" s="5">
        <f t="shared" si="0"/>
        <v>405.27425354597756</v>
      </c>
      <c r="C30" s="5">
        <f t="shared" si="11"/>
        <v>14.433223964825913</v>
      </c>
      <c r="E30">
        <f t="shared" si="1"/>
        <v>17</v>
      </c>
      <c r="F30">
        <f t="shared" si="2"/>
        <v>19</v>
      </c>
      <c r="G30" s="7">
        <f t="shared" si="3"/>
        <v>30.481690078476845</v>
      </c>
      <c r="H30" s="7">
        <f t="shared" si="4"/>
        <v>49.051760335878896</v>
      </c>
      <c r="I30" s="6"/>
      <c r="J30" t="str">
        <f t="shared" si="5"/>
        <v>NO</v>
      </c>
      <c r="K30" t="str">
        <f t="shared" si="6"/>
        <v>YES</v>
      </c>
      <c r="L30" t="str">
        <f t="shared" si="7"/>
        <v>NO</v>
      </c>
      <c r="M30" t="str">
        <f t="shared" si="8"/>
        <v>NO</v>
      </c>
      <c r="N30" t="str">
        <f t="shared" si="9"/>
        <v>NO</v>
      </c>
    </row>
    <row r="31" spans="1:14">
      <c r="A31">
        <f t="shared" si="10"/>
        <v>18</v>
      </c>
      <c r="B31" s="5">
        <f t="shared" si="0"/>
        <v>418.89740289555857</v>
      </c>
      <c r="C31" s="5">
        <f t="shared" si="11"/>
        <v>13.623149349581013</v>
      </c>
      <c r="E31">
        <f t="shared" si="1"/>
        <v>18</v>
      </c>
      <c r="F31">
        <f t="shared" si="2"/>
        <v>20</v>
      </c>
      <c r="G31" s="7">
        <f t="shared" si="3"/>
        <v>28.99538702147197</v>
      </c>
      <c r="H31" s="7">
        <f t="shared" si="4"/>
        <v>46.074193823581595</v>
      </c>
      <c r="I31" s="6"/>
      <c r="J31" t="str">
        <f t="shared" si="5"/>
        <v>NO</v>
      </c>
      <c r="K31" t="str">
        <f t="shared" si="6"/>
        <v>YES</v>
      </c>
      <c r="L31" t="str">
        <f t="shared" si="7"/>
        <v>NO</v>
      </c>
      <c r="M31" t="str">
        <f t="shared" si="8"/>
        <v>NO</v>
      </c>
      <c r="N31" t="str">
        <f t="shared" si="9"/>
        <v>NO</v>
      </c>
    </row>
    <row r="32" spans="1:14">
      <c r="A32">
        <f t="shared" si="10"/>
        <v>19</v>
      </c>
      <c r="B32" s="5">
        <f t="shared" si="0"/>
        <v>431.7559436244544</v>
      </c>
      <c r="C32" s="5">
        <f t="shared" si="11"/>
        <v>12.858540728895832</v>
      </c>
      <c r="E32">
        <f t="shared" si="1"/>
        <v>19</v>
      </c>
      <c r="F32">
        <f t="shared" si="2"/>
        <v>21</v>
      </c>
      <c r="G32" s="7">
        <f t="shared" si="3"/>
        <v>27.59250374510475</v>
      </c>
      <c r="H32" s="7">
        <f t="shared" si="4"/>
        <v>32.451044474000582</v>
      </c>
      <c r="I32" s="6"/>
      <c r="J32" t="str">
        <f t="shared" si="5"/>
        <v>NO</v>
      </c>
      <c r="K32" t="str">
        <f t="shared" si="6"/>
        <v>NO</v>
      </c>
      <c r="L32" t="str">
        <f t="shared" si="7"/>
        <v>YES</v>
      </c>
      <c r="M32" t="str">
        <f t="shared" si="8"/>
        <v>NO</v>
      </c>
      <c r="N32" t="str">
        <f t="shared" si="9"/>
        <v>NO</v>
      </c>
    </row>
    <row r="33" spans="1:14">
      <c r="A33">
        <f t="shared" si="10"/>
        <v>20</v>
      </c>
      <c r="B33" s="5">
        <f t="shared" si="0"/>
        <v>443.89278991703054</v>
      </c>
      <c r="C33" s="5">
        <f t="shared" si="11"/>
        <v>12.136846292576138</v>
      </c>
      <c r="E33" t="str">
        <f t="shared" si="1"/>
        <v/>
      </c>
      <c r="F33" t="str">
        <f t="shared" si="2"/>
        <v/>
      </c>
      <c r="G33" s="7" t="str">
        <f t="shared" si="3"/>
        <v/>
      </c>
      <c r="H33" s="7" t="str">
        <f t="shared" si="4"/>
        <v/>
      </c>
      <c r="I33" s="6"/>
      <c r="J33" t="str">
        <f t="shared" si="5"/>
        <v>NO</v>
      </c>
      <c r="K33" t="str">
        <f t="shared" si="6"/>
        <v>NO</v>
      </c>
      <c r="L33" t="str">
        <f t="shared" si="7"/>
        <v>NO</v>
      </c>
      <c r="M33" t="str">
        <f t="shared" si="8"/>
        <v>NO</v>
      </c>
      <c r="N33" t="str">
        <f t="shared" si="9"/>
        <v>NO</v>
      </c>
    </row>
    <row r="34" spans="1:14">
      <c r="A34">
        <f t="shared" si="10"/>
        <v>21</v>
      </c>
      <c r="B34" s="5">
        <f t="shared" si="0"/>
        <v>455.34844736955915</v>
      </c>
      <c r="C34" s="5">
        <f t="shared" si="11"/>
        <v>11.455657452528612</v>
      </c>
      <c r="E34" t="str">
        <f t="shared" si="1"/>
        <v/>
      </c>
      <c r="F34" t="str">
        <f t="shared" si="2"/>
        <v/>
      </c>
      <c r="G34" s="7" t="str">
        <f t="shared" si="3"/>
        <v/>
      </c>
      <c r="H34" s="7" t="str">
        <f t="shared" si="4"/>
        <v/>
      </c>
      <c r="I34" s="6"/>
      <c r="J34" t="str">
        <f t="shared" si="5"/>
        <v>NO</v>
      </c>
      <c r="K34" t="str">
        <f t="shared" si="6"/>
        <v>NO</v>
      </c>
      <c r="L34" t="str">
        <f t="shared" si="7"/>
        <v>NO</v>
      </c>
      <c r="M34" t="str">
        <f t="shared" si="8"/>
        <v>NO</v>
      </c>
      <c r="N34" t="str">
        <f t="shared" si="9"/>
        <v>NO</v>
      </c>
    </row>
    <row r="35" spans="1:14">
      <c r="A35" t="str">
        <f t="shared" si="10"/>
        <v/>
      </c>
      <c r="B35" s="5" t="str">
        <f t="shared" si="0"/>
        <v/>
      </c>
      <c r="C35" s="5" t="str">
        <f t="shared" si="11"/>
        <v/>
      </c>
      <c r="E35" t="str">
        <f t="shared" si="1"/>
        <v/>
      </c>
      <c r="F35" t="str">
        <f t="shared" si="2"/>
        <v/>
      </c>
      <c r="G35" s="7" t="str">
        <f t="shared" si="3"/>
        <v/>
      </c>
      <c r="H35" s="7" t="str">
        <f t="shared" si="4"/>
        <v/>
      </c>
      <c r="I35" s="6"/>
      <c r="J35" t="str">
        <f t="shared" si="5"/>
        <v>NO</v>
      </c>
      <c r="K35" t="str">
        <f t="shared" si="6"/>
        <v>NO</v>
      </c>
      <c r="L35" t="str">
        <f t="shared" si="7"/>
        <v>NO</v>
      </c>
      <c r="M35" t="str">
        <f t="shared" si="8"/>
        <v>NO</v>
      </c>
      <c r="N35" t="str">
        <f t="shared" si="9"/>
        <v>NO</v>
      </c>
    </row>
    <row r="36" spans="1:14">
      <c r="A36" t="str">
        <f t="shared" si="10"/>
        <v/>
      </c>
      <c r="B36" s="5" t="str">
        <f t="shared" si="0"/>
        <v/>
      </c>
      <c r="C36" s="5" t="str">
        <f t="shared" si="11"/>
        <v/>
      </c>
      <c r="E36" t="str">
        <f t="shared" si="1"/>
        <v/>
      </c>
      <c r="F36" t="str">
        <f t="shared" si="2"/>
        <v/>
      </c>
      <c r="G36" s="7" t="str">
        <f t="shared" si="3"/>
        <v/>
      </c>
      <c r="H36" s="7" t="str">
        <f t="shared" si="4"/>
        <v/>
      </c>
      <c r="I36" s="6"/>
      <c r="J36" t="str">
        <f t="shared" si="5"/>
        <v>NO</v>
      </c>
      <c r="K36" t="str">
        <f t="shared" si="6"/>
        <v>NO</v>
      </c>
      <c r="L36" t="str">
        <f t="shared" si="7"/>
        <v>NO</v>
      </c>
      <c r="M36" t="str">
        <f t="shared" si="8"/>
        <v>NO</v>
      </c>
      <c r="N36" t="str">
        <f t="shared" si="9"/>
        <v>NO</v>
      </c>
    </row>
    <row r="37" spans="1:14">
      <c r="A37" t="str">
        <f>IF(A36="","",IF(A36+1&gt;$B$10,"",A36+1))</f>
        <v/>
      </c>
      <c r="B37" s="5" t="str">
        <f t="shared" si="0"/>
        <v/>
      </c>
      <c r="C37" s="5" t="str">
        <f t="shared" si="11"/>
        <v/>
      </c>
      <c r="E37" t="str">
        <f t="shared" si="1"/>
        <v/>
      </c>
      <c r="F37" t="str">
        <f t="shared" si="2"/>
        <v/>
      </c>
      <c r="G37" s="7" t="str">
        <f t="shared" si="3"/>
        <v/>
      </c>
      <c r="H37" s="7" t="str">
        <f t="shared" si="4"/>
        <v/>
      </c>
      <c r="I37" s="6"/>
      <c r="J37" t="str">
        <f t="shared" si="5"/>
        <v>NO</v>
      </c>
      <c r="K37" t="str">
        <f t="shared" si="6"/>
        <v>NO</v>
      </c>
      <c r="L37" t="str">
        <f t="shared" si="7"/>
        <v>NO</v>
      </c>
      <c r="M37" t="str">
        <f t="shared" si="8"/>
        <v>NO</v>
      </c>
      <c r="N37" t="str">
        <f t="shared" si="9"/>
        <v>NO</v>
      </c>
    </row>
    <row r="38" spans="1:14">
      <c r="A38" t="str">
        <f>IF(A37="","",IF(A37+1&gt;$B$10,"",A37+1))</f>
        <v/>
      </c>
      <c r="B38" s="5" t="str">
        <f t="shared" si="0"/>
        <v/>
      </c>
      <c r="C38" s="5" t="str">
        <f t="shared" si="11"/>
        <v/>
      </c>
      <c r="E38" t="str">
        <f t="shared" si="1"/>
        <v/>
      </c>
      <c r="F38" t="str">
        <f t="shared" si="2"/>
        <v/>
      </c>
      <c r="G38" s="7" t="str">
        <f t="shared" si="3"/>
        <v/>
      </c>
      <c r="H38" s="7" t="str">
        <f t="shared" si="4"/>
        <v/>
      </c>
      <c r="I38" s="6"/>
      <c r="J38" t="str">
        <f t="shared" si="5"/>
        <v>NO</v>
      </c>
      <c r="K38" t="str">
        <f t="shared" si="6"/>
        <v>NO</v>
      </c>
      <c r="L38" t="str">
        <f t="shared" si="7"/>
        <v>NO</v>
      </c>
      <c r="M38" t="str">
        <f t="shared" si="8"/>
        <v>NO</v>
      </c>
      <c r="N38" t="str">
        <f t="shared" si="9"/>
        <v>NO</v>
      </c>
    </row>
  </sheetData>
  <pageMargins left="0.7" right="0.7" top="0.75" bottom="0.75" header="0.3" footer="0.3"/>
  <pageSetup paperSize="9" fitToWidth="0" fitToHeight="0" orientation="portrait" blackAndWhite="1" horizontalDpi="360" verticalDpi="36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2689-BF38-4431-A89B-08F00106409A}">
  <dimension ref="A1:A3"/>
  <sheetViews>
    <sheetView workbookViewId="0">
      <selection activeCell="E7" sqref="E7"/>
    </sheetView>
  </sheetViews>
  <sheetFormatPr defaultRowHeight="15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Hartburn</dc:creator>
  <cp:keywords/>
  <dc:description/>
  <cp:lastModifiedBy>David Hartburn</cp:lastModifiedBy>
  <cp:revision/>
  <dcterms:created xsi:type="dcterms:W3CDTF">2024-03-31T09:54:55Z</dcterms:created>
  <dcterms:modified xsi:type="dcterms:W3CDTF">2025-03-15T11:49:21Z</dcterms:modified>
  <cp:category/>
  <cp:contentStatus/>
</cp:coreProperties>
</file>